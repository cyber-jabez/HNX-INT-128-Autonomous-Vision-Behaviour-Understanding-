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s" sheetId="1" state="visible" r:id="rId3"/>
    <sheet name="Summary" sheetId="2" state="visible" r:id="rId4"/>
    <sheet name="Notes" sheetId="3" state="visible" r:id="rId5"/>
  </sheets>
  <definedNames>
    <definedName function="false" hidden="true" localSheetId="0" name="_xlnm._FilterDatabase" vbProcedure="false">Datasets!$A$1:$I$11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<sst xmlns="http://schemas.openxmlformats.org/spreadsheetml/2006/main" count="125" uniqueCount="96">
  <si>
    <t xml:space="preserve">Dataset</t>
  </si>
  <si>
    <t xml:space="preserve">Category</t>
  </si>
  <si>
    <t xml:space="preserve">Size</t>
  </si>
  <si>
    <t xml:space="preserve">Key behaviours</t>
  </si>
  <si>
    <t xml:space="preserve">Where to get it</t>
  </si>
  <si>
    <t xml:space="preserve">Link status</t>
  </si>
  <si>
    <t xml:space="preserve">Access notes</t>
  </si>
  <si>
    <t xml:space="preserve">Fit for our pipeline</t>
  </si>
  <si>
    <t xml:space="preserve">Why / how to use</t>
  </si>
  <si>
    <t xml:space="preserve">UCF-Crime</t>
  </si>
  <si>
    <t xml:space="preserve">Surveillance / anomaly</t>
  </si>
  <si>
    <t xml:space="preserve">1,900 untrimmed videos, ~128 h, 13 anomaly types</t>
  </si>
  <si>
    <t xml:space="preserve">Abuse, arrest, arson, assault, road accident, burglary, explosion, fighting, robbery, shooting, stealing, shoplifting, vandalism; plus normal videos</t>
  </si>
  <si>
    <t xml:space="preserve">https://www.crcv.ucf.edu/projects/real-world/</t>
  </si>
  <si>
    <t xml:space="preserve">Verified in search</t>
  </si>
  <si>
    <t xml:space="preserve">~96 GB in parts; research use only; many clips have moving cameras</t>
  </si>
  <si>
    <t xml:space="preserve">Medium</t>
  </si>
  <si>
    <t xml:space="preserve">Use the normal videos plus temporal annotations for testing the anomaly model. Moving cameras hurt our fixed-camera features.</t>
  </si>
  <si>
    <t xml:space="preserve">ShanghaiTech Campus</t>
  </si>
  <si>
    <t xml:space="preserve">13 fixed-camera campus scenes</t>
  </si>
  <si>
    <t xml:space="preserve">Normal: walking, biking, sitting. Anomalies: sudden running, fighting, trespassing, dropping items, vehicles on walkways</t>
  </si>
  <si>
    <t xml:space="preserve">https://github.com/desenzhou/ShanghaiTechDataset</t>
  </si>
  <si>
    <t xml:space="preserve">From memory - check</t>
  </si>
  <si>
    <t xml:space="preserve">Research use</t>
  </si>
  <si>
    <t xml:space="preserve">High</t>
  </si>
  <si>
    <t xml:space="preserve">Best fit for the anomaly model: fixed cameras, normal-only training footage.</t>
  </si>
  <si>
    <t xml:space="preserve">RWF-2000</t>
  </si>
  <si>
    <t xml:space="preserve">Surveillance / fighting</t>
  </si>
  <si>
    <t xml:space="preserve">2,000 clips (5 s each)</t>
  </si>
  <si>
    <t xml:space="preserve">Real fights, pushing, violent altercations vs non-violent interactions</t>
  </si>
  <si>
    <t xml:space="preserve">https://github.com/mchengny/RWF2000-Video-Database-for-Violence-Detection</t>
  </si>
  <si>
    <t xml:space="preserve">Original requires a signed agreement sheet. Community copy on Hugging Face: DanJoshua/RWF-2000 (check its licence)</t>
  </si>
  <si>
    <t xml:space="preserve">Low</t>
  </si>
  <si>
    <t xml:space="preserve">Clip-level fight/non-fight only. Needs a new 'fight' class and a two-person interaction feature.</t>
  </si>
  <si>
    <t xml:space="preserve">RLVS (Real Life Violence Situations)</t>
  </si>
  <si>
    <t xml:space="preserve">~2,000 clips</t>
  </si>
  <si>
    <t xml:space="preserve">Fights, mobbing, public disputes vs peaceful gathering and walking</t>
  </si>
  <si>
    <t xml:space="preserve">Kaggle: 'Real Life Violence Situations Dataset'</t>
  </si>
  <si>
    <t xml:space="preserve">Mostly varied YouTube videos, not strictly crowded public spaces</t>
  </si>
  <si>
    <t xml:space="preserve">Same limits as RWF-2000: clip-level labels, no per-person tracks.</t>
  </si>
  <si>
    <t xml:space="preserve">AVA (Atomic Visual Actions)</t>
  </si>
  <si>
    <t xml:space="preserve">General activity</t>
  </si>
  <si>
    <t xml:space="preserve">Dense spatio-temporal annotations on 15-minute movie clips</t>
  </si>
  <si>
    <t xml:space="preserve">Standing, sitting, walking, talking to someone, reaching, subtle body movements</t>
  </si>
  <si>
    <t xml:space="preserve">https://research.google.com/ava  (videos: github.com/cvdfoundation/ava-dataset)</t>
  </si>
  <si>
    <t xml:space="preserve">Videos come from the CVDF repository; non-commercial research intent</t>
  </si>
  <si>
    <t xml:space="preserve">Only dataset here with per-person boxes. Movie footage, not CCTV.</t>
  </si>
  <si>
    <t xml:space="preserve">UCF101</t>
  </si>
  <si>
    <t xml:space="preserve">13,320 clips, 101 classes</t>
  </si>
  <si>
    <t xml:space="preserve">Walking, running, playing instruments, sports, talking, daily movements</t>
  </si>
  <si>
    <t xml:space="preserve">https://www.crcv.ucf.edu/data/UCF101.php</t>
  </si>
  <si>
    <t xml:space="preserve">Also in torchvision / TensorFlow Datasets; non-commercial research</t>
  </si>
  <si>
    <t xml:space="preserve">Clip-level labels and moving cameras; too coarse for track-window features.</t>
  </si>
  <si>
    <t xml:space="preserve">HMDB51</t>
  </si>
  <si>
    <t xml:space="preserve">5,100 clips, 51 classes</t>
  </si>
  <si>
    <t xml:space="preserve">Walk, run, jump, laugh, talk, basic physical interactions</t>
  </si>
  <si>
    <t xml:space="preserve">Brown University Serre Lab: 'HMDB' page</t>
  </si>
  <si>
    <t xml:space="preserve">Also in torchvision; research use</t>
  </si>
  <si>
    <t xml:space="preserve">Same limits as UCF101.</t>
  </si>
  <si>
    <t xml:space="preserve">Kinetics-400 / 600 / 700</t>
  </si>
  <si>
    <t xml:space="preserve">Hundreds of thousands of clips, 400-700 classes</t>
  </si>
  <si>
    <t xml:space="preserve">Hugging, high-fiving, running, shouting, talking and most everyday group behaviours</t>
  </si>
  <si>
    <t xml:space="preserve">https://github.com/cvdfoundation/kinetics-dataset</t>
  </si>
  <si>
    <t xml:space="preserve">Original release is YouTube links and many are dead; use the CVDF mirror. Very large</t>
  </si>
  <si>
    <t xml:space="preserve">Useful only if you move to a pose-based action model.</t>
  </si>
  <si>
    <t xml:space="preserve">UR Fall Detection</t>
  </si>
  <si>
    <t xml:space="preserve">Falls (gap in your list)</t>
  </si>
  <si>
    <t xml:space="preserve">Small set of fall / daily-activity sequences</t>
  </si>
  <si>
    <t xml:space="preserve">Falls vs normal daily activities</t>
  </si>
  <si>
    <t xml:space="preserve">Search: 'UR Fall Detection Dataset'</t>
  </si>
  <si>
    <t xml:space="preserve">Not checked</t>
  </si>
  <si>
    <t xml:space="preserve">Mentioned as a suggestion; not in your original list</t>
  </si>
  <si>
    <t xml:space="preserve">Your list has no good fall data; this fills that gap for the 'fall' class.</t>
  </si>
  <si>
    <t xml:space="preserve">Le2i Fall Detection</t>
  </si>
  <si>
    <t xml:space="preserve">Fall videos in home / office scenes</t>
  </si>
  <si>
    <t xml:space="preserve">Falls vs normal activities</t>
  </si>
  <si>
    <t xml:space="preserve">Search: 'Le2i fall detection dataset'</t>
  </si>
  <si>
    <t xml:space="preserve">Second fall source; fixed cameras.</t>
  </si>
  <si>
    <t xml:space="preserve">Fit summary</t>
  </si>
  <si>
    <t xml:space="preserve">Fit</t>
  </si>
  <si>
    <t xml:space="preserve">Number of datasets</t>
  </si>
  <si>
    <t xml:space="preserve">Total</t>
  </si>
  <si>
    <t xml:space="preserve">Topic</t>
  </si>
  <si>
    <t xml:space="preserve">Note</t>
  </si>
  <si>
    <t xml:space="preserve">Why fit is mostly Low/Medium</t>
  </si>
  <si>
    <t xml:space="preserve">Our models learn from per-person tracks of a fixed camera. Every dataset has to go through src/detect_track.py first, and most only give clip-level labels, not per-person start/end times.</t>
  </si>
  <si>
    <t xml:space="preserve">Corrections to the original list</t>
  </si>
  <si>
    <t xml:space="preserve">AVA is annotated 15-minute movie clips, not dense surveillance footage. RLVS is mostly varied YouTube videos, not strictly crowded public spaces.</t>
  </si>
  <si>
    <t xml:space="preserve">Licensing</t>
  </si>
  <si>
    <t xml:space="preserve">All are research-only unless stated otherwise. Cite the authors; check each licence before shipping a product trained on them.</t>
  </si>
  <si>
    <t xml:space="preserve">Privacy</t>
  </si>
  <si>
    <t xml:space="preserve">Footage of real people is covered by privacy rules (e.g. GDPR, CCPA); handle personal data accordingly.</t>
  </si>
  <si>
    <t xml:space="preserve">Link status key</t>
  </si>
  <si>
    <t xml:space="preserve">'Verified in search' = confirmed in a web search in this chat. 'From memory - check' = not confirmed; verify the URL before downloading. 'Not checked' = suggested dataset, no link given.</t>
  </si>
  <si>
    <t xml:space="preserve">Suggested next step</t>
  </si>
  <si>
    <t xml:space="preserve">Start with ShanghaiTech: download, run detect_track.py, convert with real_data.py, retrain the anomaly model.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</si>
</sst>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8CBAD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46"/>
    <col collapsed="false" customWidth="true" hidden="false" outlineLevel="0" max="6" min="6" style="0" width="18"/>
    <col collapsed="false" customWidth="true" hidden="false" outlineLevel="0" max="7" min="7" style="0" width="44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</row>
    <row r="3" customFormat="false" ht="35.05" hidden="false" customHeight="false" outlineLevel="0" collapsed="false">
      <c r="A3" s="2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5" t="s">
        <v>24</v>
      </c>
      <c r="I3" s="3" t="s">
        <v>25</v>
      </c>
    </row>
    <row r="4" customFormat="false" ht="35.05" hidden="false" customHeight="false" outlineLevel="0" collapsed="false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6" t="s">
        <v>32</v>
      </c>
      <c r="I4" s="3" t="s">
        <v>33</v>
      </c>
    </row>
    <row r="5" customFormat="false" ht="23.85" hidden="false" customHeight="false" outlineLevel="0" collapsed="false">
      <c r="A5" s="2" t="s">
        <v>34</v>
      </c>
      <c r="B5" s="3" t="s">
        <v>27</v>
      </c>
      <c r="C5" s="3" t="s">
        <v>35</v>
      </c>
      <c r="D5" s="3" t="s">
        <v>36</v>
      </c>
      <c r="E5" s="3" t="s">
        <v>37</v>
      </c>
      <c r="F5" s="3" t="s">
        <v>22</v>
      </c>
      <c r="G5" s="3" t="s">
        <v>38</v>
      </c>
      <c r="H5" s="6" t="s">
        <v>32</v>
      </c>
      <c r="I5" s="3" t="s">
        <v>39</v>
      </c>
    </row>
    <row r="6" customFormat="false" ht="35.05" hidden="false" customHeight="false" outlineLevel="0" collapsed="false">
      <c r="A6" s="2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22</v>
      </c>
      <c r="G6" s="3" t="s">
        <v>45</v>
      </c>
      <c r="H6" s="4" t="s">
        <v>16</v>
      </c>
      <c r="I6" s="3" t="s">
        <v>46</v>
      </c>
    </row>
    <row r="7" customFormat="false" ht="23.85" hidden="false" customHeight="false" outlineLevel="0" collapsed="false">
      <c r="A7" s="2" t="s">
        <v>47</v>
      </c>
      <c r="B7" s="3" t="s">
        <v>41</v>
      </c>
      <c r="C7" s="3" t="s">
        <v>48</v>
      </c>
      <c r="D7" s="3" t="s">
        <v>49</v>
      </c>
      <c r="E7" s="3" t="s">
        <v>50</v>
      </c>
      <c r="F7" s="3" t="s">
        <v>22</v>
      </c>
      <c r="G7" s="3" t="s">
        <v>51</v>
      </c>
      <c r="H7" s="6" t="s">
        <v>32</v>
      </c>
      <c r="I7" s="3" t="s">
        <v>52</v>
      </c>
    </row>
    <row r="8" customFormat="false" ht="23.85" hidden="false" customHeight="false" outlineLevel="0" collapsed="false">
      <c r="A8" s="2" t="s">
        <v>53</v>
      </c>
      <c r="B8" s="3" t="s">
        <v>41</v>
      </c>
      <c r="C8" s="3" t="s">
        <v>54</v>
      </c>
      <c r="D8" s="3" t="s">
        <v>55</v>
      </c>
      <c r="E8" s="3" t="s">
        <v>56</v>
      </c>
      <c r="F8" s="3" t="s">
        <v>22</v>
      </c>
      <c r="G8" s="3" t="s">
        <v>57</v>
      </c>
      <c r="H8" s="6" t="s">
        <v>32</v>
      </c>
      <c r="I8" s="3" t="s">
        <v>58</v>
      </c>
    </row>
    <row r="9" customFormat="false" ht="23.85" hidden="false" customHeight="false" outlineLevel="0" collapsed="false">
      <c r="A9" s="2" t="s">
        <v>59</v>
      </c>
      <c r="B9" s="3" t="s">
        <v>41</v>
      </c>
      <c r="C9" s="3" t="s">
        <v>60</v>
      </c>
      <c r="D9" s="3" t="s">
        <v>61</v>
      </c>
      <c r="E9" s="3" t="s">
        <v>62</v>
      </c>
      <c r="F9" s="3" t="s">
        <v>22</v>
      </c>
      <c r="G9" s="3" t="s">
        <v>63</v>
      </c>
      <c r="H9" s="6" t="s">
        <v>32</v>
      </c>
      <c r="I9" s="3" t="s">
        <v>64</v>
      </c>
    </row>
    <row r="10" customFormat="false" ht="23.85" hidden="false" customHeight="false" outlineLevel="0" collapsed="false">
      <c r="A10" s="2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5" t="s">
        <v>24</v>
      </c>
      <c r="I10" s="3" t="s">
        <v>72</v>
      </c>
    </row>
    <row r="11" customFormat="false" ht="23.85" hidden="false" customHeight="false" outlineLevel="0" collapsed="false">
      <c r="A11" s="2" t="s">
        <v>73</v>
      </c>
      <c r="B11" s="3" t="s">
        <v>66</v>
      </c>
      <c r="C11" s="3" t="s">
        <v>74</v>
      </c>
      <c r="D11" s="3" t="s">
        <v>75</v>
      </c>
      <c r="E11" s="3" t="s">
        <v>76</v>
      </c>
      <c r="F11" s="3" t="s">
        <v>70</v>
      </c>
      <c r="G11" s="3" t="s">
        <v>71</v>
      </c>
      <c r="H11" s="5" t="s">
        <v>24</v>
      </c>
      <c r="I11" s="3" t="s">
        <v>77</v>
      </c>
    </row>
  </sheetData>
  <autoFilter ref="A1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7" t="s">
        <v>78</v>
      </c>
    </row>
    <row r="3" customFormat="false" ht="15" hidden="false" customHeight="false" outlineLevel="0" collapsed="false">
      <c r="A3" s="8" t="s">
        <v>79</v>
      </c>
      <c r="B3" s="8" t="s">
        <v>80</v>
      </c>
    </row>
    <row r="4" customFormat="false" ht="15" hidden="false" customHeight="false" outlineLevel="0" collapsed="false">
      <c r="A4" s="9" t="s">
        <v>24</v>
      </c>
      <c r="B4" s="10" t="n">
        <f aca="false">COUNTIF(Datasets!$H$2:$H$11,A4)</f>
        <v>3</v>
      </c>
    </row>
    <row r="5" customFormat="false" ht="15" hidden="false" customHeight="false" outlineLevel="0" collapsed="false">
      <c r="A5" s="11" t="s">
        <v>16</v>
      </c>
      <c r="B5" s="10" t="n">
        <f aca="false">COUNTIF(Datasets!$H$2:$H$11,A5)</f>
        <v>2</v>
      </c>
    </row>
    <row r="6" customFormat="false" ht="15" hidden="false" customHeight="false" outlineLevel="0" collapsed="false">
      <c r="A6" s="12" t="s">
        <v>32</v>
      </c>
      <c r="B6" s="10" t="n">
        <f aca="false">COUNTIF(Datasets!$H$2:$H$11,A6)</f>
        <v>5</v>
      </c>
    </row>
    <row r="7" customFormat="false" ht="15" hidden="false" customHeight="false" outlineLevel="0" collapsed="false">
      <c r="A7" s="13" t="s">
        <v>81</v>
      </c>
      <c r="B7" s="10" t="n">
        <f aca="false">SUM(B4:B6)</f>
        <v>10</v>
      </c>
    </row>
    <row r="8" customFormat="false" ht="15" hidden="false" customHeight="false" outlineLevel="0" collapsed="false">
      <c r="A8" s="10"/>
      <c r="B8" s="10"/>
    </row>
    <row r="9" customFormat="false" ht="15" hidden="false" customHeight="false" outlineLevel="0" collapsed="false">
      <c r="A9" s="8" t="s">
        <v>5</v>
      </c>
      <c r="B9" s="8" t="s">
        <v>80</v>
      </c>
    </row>
    <row r="10" customFormat="false" ht="15" hidden="false" customHeight="false" outlineLevel="0" collapsed="false">
      <c r="A10" s="10" t="s">
        <v>14</v>
      </c>
      <c r="B10" s="10" t="n">
        <f aca="false">COUNTIF(Datasets!$F$2:$F$11,A10)</f>
        <v>2</v>
      </c>
    </row>
    <row r="11" customFormat="false" ht="15" hidden="false" customHeight="false" outlineLevel="0" collapsed="false">
      <c r="A11" s="10" t="s">
        <v>22</v>
      </c>
      <c r="B11" s="10" t="n">
        <f aca="false">COUNTIF(Datasets!$F$2:$F$11,A11)</f>
        <v>6</v>
      </c>
    </row>
    <row r="12" customFormat="false" ht="15" hidden="false" customHeight="false" outlineLevel="0" collapsed="false">
      <c r="A12" s="10" t="s">
        <v>70</v>
      </c>
      <c r="B12" s="10" t="n">
        <f aca="false">COUNTIF(Datasets!$F$2:$F$11,A12)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8" t="s">
        <v>82</v>
      </c>
      <c r="B1" s="8" t="s">
        <v>83</v>
      </c>
    </row>
    <row r="2" customFormat="false" ht="23.85" hidden="false" customHeight="false" outlineLevel="0" collapsed="false">
      <c r="A2" s="14" t="s">
        <v>84</v>
      </c>
      <c r="B2" s="15" t="s">
        <v>85</v>
      </c>
    </row>
    <row r="3" customFormat="false" ht="23.85" hidden="false" customHeight="false" outlineLevel="0" collapsed="false">
      <c r="A3" s="14" t="s">
        <v>86</v>
      </c>
      <c r="B3" s="15" t="s">
        <v>87</v>
      </c>
    </row>
    <row r="4" customFormat="false" ht="23.85" hidden="false" customHeight="false" outlineLevel="0" collapsed="false">
      <c r="A4" s="14" t="s">
        <v>88</v>
      </c>
      <c r="B4" s="15" t="s">
        <v>89</v>
      </c>
    </row>
    <row r="5" customFormat="false" ht="15" hidden="false" customHeight="false" outlineLevel="0" collapsed="false">
      <c r="A5" s="14" t="s">
        <v>90</v>
      </c>
      <c r="B5" s="15" t="s">
        <v>91</v>
      </c>
    </row>
    <row r="6" customFormat="false" ht="23.85" hidden="false" customHeight="false" outlineLevel="0" collapsed="false">
      <c r="A6" s="14" t="s">
        <v>92</v>
      </c>
      <c r="B6" s="15" t="s">
        <v>93</v>
      </c>
    </row>
    <row r="7" customFormat="false" ht="15" hidden="false" customHeight="false" outlineLevel="0" collapsed="false">
      <c r="A7" s="14" t="s">
        <v>94</v>
      </c>
      <c r="B7" s="1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2026-10-07T09:23:56Z</dcterms:created>
  <dc:creator>openpyxl</dc:creator>
  <dc:description/>
  <dc:language>en-US</dc:language>
  <cp:lastModifiedBy/>
  <dcterms:modified xsi:type="dcterms:W3CDTF">2026-10-07T09:23:56Z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